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8DCDD00C-C86C-424B-BCDE-7DF91D543BFA}" xr6:coauthVersionLast="47" xr6:coauthVersionMax="47" xr10:uidLastSave="{00000000-0000-0000-0000-000000000000}"/>
  <bookViews>
    <workbookView xWindow="-98" yWindow="-98" windowWidth="19396" windowHeight="12196" activeTab="1" xr2:uid="{00000000-000D-0000-FFFF-FFFF00000000}"/>
  </bookViews>
  <sheets>
    <sheet name="DSF" sheetId="1" r:id="rId1"/>
    <sheet name="TD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C8" i="2"/>
  <c r="I8" i="2"/>
  <c r="G8" i="2"/>
  <c r="E8" i="2"/>
  <c r="I8" i="1"/>
  <c r="I9" i="1" s="1"/>
  <c r="I10" i="1" s="1"/>
  <c r="G8" i="1"/>
  <c r="G9" i="1" s="1"/>
  <c r="G10" i="1" s="1"/>
  <c r="E8" i="1"/>
  <c r="E9" i="1" s="1"/>
  <c r="E10" i="1" s="1"/>
  <c r="H9" i="1"/>
  <c r="D8" i="2"/>
  <c r="F8" i="2"/>
  <c r="H8" i="2"/>
  <c r="C13" i="1"/>
  <c r="C8" i="1"/>
  <c r="C9" i="1" s="1"/>
  <c r="C10" i="1" s="1"/>
  <c r="D13" i="1"/>
  <c r="E13" i="1"/>
  <c r="F13" i="1"/>
  <c r="G13" i="1"/>
  <c r="H13" i="1"/>
  <c r="I13" i="1"/>
  <c r="D9" i="1"/>
  <c r="F9" i="1"/>
  <c r="B8" i="2"/>
</calcChain>
</file>

<file path=xl/sharedStrings.xml><?xml version="1.0" encoding="utf-8"?>
<sst xmlns="http://schemas.openxmlformats.org/spreadsheetml/2006/main" count="58" uniqueCount="34">
  <si>
    <t>R&amp;T</t>
  </si>
  <si>
    <t>TP Telecom 2 : Analyse spectrale de signaux</t>
  </si>
  <si>
    <t>DSF d'un carré : synthèse de la préparation et des résultats</t>
  </si>
  <si>
    <t>Composante</t>
  </si>
  <si>
    <t>C</t>
  </si>
  <si>
    <t>F</t>
  </si>
  <si>
    <t>H2</t>
  </si>
  <si>
    <t>H3</t>
  </si>
  <si>
    <t>H4</t>
  </si>
  <si>
    <t>H5</t>
  </si>
  <si>
    <t>H6</t>
  </si>
  <si>
    <t>H7</t>
  </si>
  <si>
    <t>Continue</t>
  </si>
  <si>
    <t>Fondamental</t>
  </si>
  <si>
    <t>Harmonique 2</t>
  </si>
  <si>
    <t>Harmonique 3</t>
  </si>
  <si>
    <t>Harmonique 4</t>
  </si>
  <si>
    <t>Harmonique 5</t>
  </si>
  <si>
    <t>Harmonique 6</t>
  </si>
  <si>
    <t>Harmonique 7</t>
  </si>
  <si>
    <t>Fréquence (kHz)</t>
  </si>
  <si>
    <t>Prévisions théoriques</t>
  </si>
  <si>
    <t>Amplitude crête théorique(Volt)</t>
  </si>
  <si>
    <t>Valeur efficace théorique (Veff)</t>
  </si>
  <si>
    <t>Conversion en dBµVeff théorique</t>
  </si>
  <si>
    <t>Résultats pratiques</t>
  </si>
  <si>
    <t>Amplitude relevée (dBµVeff)</t>
  </si>
  <si>
    <t>Conversion en Veff</t>
  </si>
  <si>
    <t>Donnée : E</t>
  </si>
  <si>
    <t>V</t>
  </si>
  <si>
    <t>Calcul du Taux de Disorsion d'un signal</t>
  </si>
  <si>
    <t>Calcul du TDH</t>
  </si>
  <si>
    <t xml:space="preserve"> -∞</t>
  </si>
  <si>
    <t>Résultats Pratiques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</si>
</sst>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Bell MT"/>
      <family val="1"/>
    </font>
    <font>
      <u/>
      <sz val="12"/>
      <color theme="1"/>
      <name val="Bell MT"/>
      <family val="1"/>
    </font>
    <font>
      <b/>
      <sz val="11"/>
      <color theme="0"/>
      <name val="Times New Roman"/>
      <family val="1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6" fillId="0" borderId="3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vertical="center"/>
    </xf>
    <xf numFmtId="2" fontId="8" fillId="0" borderId="7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8" fillId="6" borderId="0" xfId="0" applyNumberFormat="1" applyFont="1" applyFill="1" applyAlignment="1">
      <alignment vertical="center"/>
    </xf>
    <xf numFmtId="2" fontId="8" fillId="6" borderId="0" xfId="0" applyNumberFormat="1" applyFont="1" applyFill="1" applyAlignment="1">
      <alignment horizontal="center" vertical="center"/>
    </xf>
    <xf numFmtId="2" fontId="1" fillId="2" borderId="1" xfId="0" applyNumberFormat="1" applyFont="1" applyFill="1" applyBorder="1" applyAlignment="1">
      <alignment horizontal="center"/>
    </xf>
    <xf numFmtId="2" fontId="2" fillId="0" borderId="0" xfId="0" applyNumberFormat="1" applyFont="1"/>
    <xf numFmtId="2" fontId="3" fillId="2" borderId="2" xfId="0" applyNumberFormat="1" applyFont="1" applyFill="1" applyBorder="1" applyAlignment="1">
      <alignment horizontal="center"/>
    </xf>
    <xf numFmtId="2" fontId="4" fillId="0" borderId="0" xfId="0" applyNumberFormat="1" applyFont="1"/>
    <xf numFmtId="2" fontId="5" fillId="3" borderId="3" xfId="0" applyNumberFormat="1" applyFont="1" applyFill="1" applyBorder="1" applyAlignment="1">
      <alignment horizontal="left" vertical="center" wrapText="1"/>
    </xf>
    <xf numFmtId="2" fontId="0" fillId="0" borderId="0" xfId="0" applyNumberFormat="1"/>
    <xf numFmtId="2" fontId="5" fillId="4" borderId="3" xfId="0" applyNumberFormat="1" applyFont="1" applyFill="1" applyBorder="1" applyAlignment="1">
      <alignment horizontal="left" vertical="center" wrapText="1"/>
    </xf>
    <xf numFmtId="2" fontId="6" fillId="6" borderId="3" xfId="0" applyNumberFormat="1" applyFont="1" applyFill="1" applyBorder="1" applyAlignment="1">
      <alignment horizontal="right" vertical="center" wrapText="1"/>
    </xf>
    <xf numFmtId="2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10" fillId="7" borderId="3" xfId="0" applyNumberFormat="1" applyFont="1" applyFill="1" applyBorder="1" applyAlignment="1">
      <alignment horizontal="left" vertical="center" wrapText="1"/>
    </xf>
    <xf numFmtId="2" fontId="8" fillId="0" borderId="6" xfId="0" applyNumberFormat="1" applyFont="1" applyBorder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7" fillId="5" borderId="4" xfId="0" applyNumberFormat="1" applyFont="1" applyFill="1" applyBorder="1" applyAlignment="1">
      <alignment horizontal="center" vertical="center"/>
    </xf>
    <xf numFmtId="2" fontId="6" fillId="8" borderId="8" xfId="0" applyNumberFormat="1" applyFont="1" applyFill="1" applyBorder="1" applyAlignment="1">
      <alignment horizontal="center" vertical="center"/>
    </xf>
    <xf numFmtId="2" fontId="6" fillId="8" borderId="4" xfId="0" applyNumberFormat="1" applyFont="1" applyFill="1" applyBorder="1" applyAlignment="1">
      <alignment horizontal="center" vertical="center"/>
    </xf>
    <xf numFmtId="2" fontId="6" fillId="8" borderId="9" xfId="0" applyNumberFormat="1" applyFont="1" applyFill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opLeftCell="A5" workbookViewId="0">
      <selection activeCell="A11" sqref="A11:I11"/>
    </sheetView>
  </sheetViews>
  <sheetFormatPr baseColWidth="10" defaultColWidth="11.3984375" defaultRowHeight="14.25" x14ac:dyDescent="0.45"/>
  <cols>
    <col min="1" max="1" width="21.59765625" style="12" customWidth="1"/>
    <col min="2" max="9" width="13.59765625" style="16" customWidth="1"/>
    <col min="10" max="16384" width="11.3984375" style="12"/>
  </cols>
  <sheetData>
    <row r="1" spans="1:9" s="4" customFormat="1" ht="22.5" customHeight="1" x14ac:dyDescent="0.45">
      <c r="A1" s="2" t="s">
        <v>0</v>
      </c>
      <c r="B1" s="18" t="s">
        <v>1</v>
      </c>
      <c r="C1" s="18"/>
      <c r="D1" s="18"/>
      <c r="E1" s="18"/>
      <c r="F1" s="18"/>
      <c r="G1" s="18"/>
      <c r="H1" s="18"/>
      <c r="I1" s="3"/>
    </row>
    <row r="2" spans="1:9" s="4" customFormat="1" ht="17.25" customHeight="1" x14ac:dyDescent="0.45">
      <c r="A2" s="5"/>
      <c r="B2" s="19" t="s">
        <v>2</v>
      </c>
      <c r="C2" s="19"/>
      <c r="D2" s="19"/>
      <c r="E2" s="19"/>
      <c r="F2" s="19"/>
      <c r="G2" s="19"/>
      <c r="H2" s="19"/>
      <c r="I2" s="6"/>
    </row>
    <row r="4" spans="1:9" s="8" customFormat="1" ht="15.75" x14ac:dyDescent="0.5">
      <c r="A4" s="20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</row>
    <row r="5" spans="1:9" s="10" customFormat="1" ht="10.5" x14ac:dyDescent="0.35">
      <c r="A5" s="21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9" t="s">
        <v>19</v>
      </c>
    </row>
    <row r="6" spans="1:9" ht="40.5" customHeight="1" x14ac:dyDescent="0.45">
      <c r="A6" s="11" t="s">
        <v>20</v>
      </c>
      <c r="B6" s="1">
        <v>0</v>
      </c>
      <c r="C6" s="1">
        <v>100</v>
      </c>
      <c r="D6" s="1">
        <v>200</v>
      </c>
      <c r="E6" s="1">
        <v>300</v>
      </c>
      <c r="F6" s="1">
        <v>400</v>
      </c>
      <c r="G6" s="1">
        <v>500</v>
      </c>
      <c r="H6" s="1">
        <v>600</v>
      </c>
      <c r="I6" s="1">
        <v>700</v>
      </c>
    </row>
    <row r="7" spans="1:9" ht="15.75" customHeight="1" x14ac:dyDescent="0.45">
      <c r="A7" s="22" t="s">
        <v>21</v>
      </c>
      <c r="B7" s="22"/>
      <c r="C7" s="22"/>
      <c r="D7" s="22"/>
      <c r="E7" s="22"/>
      <c r="F7" s="22"/>
      <c r="G7" s="22"/>
      <c r="H7" s="22"/>
      <c r="I7" s="22"/>
    </row>
    <row r="8" spans="1:9" ht="40.5" customHeight="1" x14ac:dyDescent="0.45">
      <c r="A8" s="11" t="s">
        <v>22</v>
      </c>
      <c r="B8" s="1">
        <v>0</v>
      </c>
      <c r="C8" s="1">
        <f>4*$B$15/PI()</f>
        <v>0.63661977236758138</v>
      </c>
      <c r="D8" s="1">
        <v>0</v>
      </c>
      <c r="E8" s="1">
        <f>(4*$B$15/3*PI() )/ 10</f>
        <v>0.20943951023931953</v>
      </c>
      <c r="F8" s="1">
        <v>0</v>
      </c>
      <c r="G8" s="1">
        <f>(4*$B$15/5*PI() )/ 10</f>
        <v>0.12566370614359174</v>
      </c>
      <c r="H8" s="1">
        <v>0</v>
      </c>
      <c r="I8" s="1">
        <f>( 4*$B$15/7*PI() )/ 10</f>
        <v>8.9759790102565518E-2</v>
      </c>
    </row>
    <row r="9" spans="1:9" ht="40.5" customHeight="1" x14ac:dyDescent="0.45">
      <c r="A9" s="11" t="s">
        <v>23</v>
      </c>
      <c r="B9" s="1">
        <v>0</v>
      </c>
      <c r="C9" s="1">
        <f>C8/SQRT(2)</f>
        <v>0.45015815807855303</v>
      </c>
      <c r="D9" s="1">
        <f t="shared" ref="D9:I9" si="0">D8/SQRT(2)</f>
        <v>0</v>
      </c>
      <c r="E9" s="1">
        <f t="shared" si="0"/>
        <v>0.1480960979386122</v>
      </c>
      <c r="F9" s="1">
        <f t="shared" si="0"/>
        <v>0</v>
      </c>
      <c r="G9" s="1">
        <f t="shared" si="0"/>
        <v>8.8857658763167327E-2</v>
      </c>
      <c r="H9" s="1">
        <f t="shared" si="0"/>
        <v>0</v>
      </c>
      <c r="I9" s="1">
        <f t="shared" si="0"/>
        <v>6.3469756259405222E-2</v>
      </c>
    </row>
    <row r="10" spans="1:9" ht="40.5" customHeight="1" x14ac:dyDescent="0.45">
      <c r="A10" s="11" t="s">
        <v>24</v>
      </c>
      <c r="B10" s="26" t="s">
        <v>32</v>
      </c>
      <c r="C10" s="1">
        <f>20*LOG(C9*10^6)</f>
        <v>113.06730250275713</v>
      </c>
      <c r="D10" s="1" t="s">
        <v>32</v>
      </c>
      <c r="E10" s="1">
        <f t="shared" ref="D10:I10" si="1">20*LOG(E9*10^6)</f>
        <v>103.41087231612924</v>
      </c>
      <c r="F10" s="1" t="s">
        <v>32</v>
      </c>
      <c r="G10" s="1">
        <f t="shared" si="1"/>
        <v>98.97389732380212</v>
      </c>
      <c r="H10" s="1" t="s">
        <v>32</v>
      </c>
      <c r="I10" s="1">
        <f t="shared" si="1"/>
        <v>96.051336610237357</v>
      </c>
    </row>
    <row r="11" spans="1:9" ht="15.75" customHeight="1" x14ac:dyDescent="0.45">
      <c r="A11" s="22" t="s">
        <v>33</v>
      </c>
      <c r="B11" s="22"/>
      <c r="C11" s="22"/>
      <c r="D11" s="22"/>
      <c r="E11" s="22"/>
      <c r="F11" s="22"/>
      <c r="G11" s="22"/>
      <c r="H11" s="22"/>
      <c r="I11" s="22"/>
    </row>
    <row r="12" spans="1:9" ht="40.5" customHeight="1" x14ac:dyDescent="0.45">
      <c r="A12" s="13" t="s">
        <v>26</v>
      </c>
      <c r="B12" s="1">
        <v>0</v>
      </c>
      <c r="C12" s="1">
        <v>112.97</v>
      </c>
      <c r="D12" s="1">
        <v>0</v>
      </c>
      <c r="E12" s="1">
        <v>103.31</v>
      </c>
      <c r="F12" s="1">
        <v>0</v>
      </c>
      <c r="G12" s="1">
        <v>98.87</v>
      </c>
      <c r="H12" s="1">
        <v>0</v>
      </c>
      <c r="I12" s="1">
        <v>95.93</v>
      </c>
    </row>
    <row r="13" spans="1:9" ht="40.5" customHeight="1" x14ac:dyDescent="0.45">
      <c r="A13" s="13" t="s">
        <v>27</v>
      </c>
      <c r="B13" s="1">
        <v>0</v>
      </c>
      <c r="C13" s="1">
        <f>10^(C12/20)*10^-6</f>
        <v>0.44514346292011359</v>
      </c>
      <c r="D13" s="1">
        <f t="shared" ref="D13:I13" si="2">10^(D12/20)*10^-6</f>
        <v>9.9999999999999995E-7</v>
      </c>
      <c r="E13" s="1">
        <f t="shared" si="2"/>
        <v>0.14638615375506187</v>
      </c>
      <c r="F13" s="1">
        <f t="shared" si="2"/>
        <v>9.9999999999999995E-7</v>
      </c>
      <c r="G13" s="1">
        <f t="shared" si="2"/>
        <v>8.7801108709653103E-2</v>
      </c>
      <c r="H13" s="1">
        <f t="shared" si="2"/>
        <v>9.9999999999999995E-7</v>
      </c>
      <c r="I13" s="1">
        <f t="shared" si="2"/>
        <v>6.2589286392144158E-2</v>
      </c>
    </row>
    <row r="15" spans="1:9" x14ac:dyDescent="0.45">
      <c r="A15" s="14" t="s">
        <v>28</v>
      </c>
      <c r="B15" s="15">
        <v>0.5</v>
      </c>
      <c r="C15" s="16" t="s">
        <v>29</v>
      </c>
    </row>
  </sheetData>
  <mergeCells count="5">
    <mergeCell ref="A4:A5"/>
    <mergeCell ref="A11:I11"/>
    <mergeCell ref="A7:I7"/>
    <mergeCell ref="B1:H1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853A-8161-418A-8259-79E43576AD21}">
  <dimension ref="A1:I10"/>
  <sheetViews>
    <sheetView tabSelected="1" workbookViewId="0">
      <selection activeCell="D11" sqref="D11"/>
    </sheetView>
  </sheetViews>
  <sheetFormatPr baseColWidth="10" defaultColWidth="11.3984375" defaultRowHeight="14.25" x14ac:dyDescent="0.45"/>
  <cols>
    <col min="1" max="1" width="21.59765625" style="12" customWidth="1"/>
    <col min="2" max="9" width="13.59765625" style="16" customWidth="1"/>
    <col min="10" max="16384" width="11.3984375" style="12"/>
  </cols>
  <sheetData>
    <row r="1" spans="1:9" s="4" customFormat="1" ht="22.5" customHeight="1" x14ac:dyDescent="0.45">
      <c r="A1" s="2" t="s">
        <v>0</v>
      </c>
      <c r="B1" s="18" t="s">
        <v>1</v>
      </c>
      <c r="C1" s="18"/>
      <c r="D1" s="18"/>
      <c r="E1" s="18"/>
      <c r="F1" s="18"/>
      <c r="G1" s="18"/>
      <c r="H1" s="18"/>
      <c r="I1" s="3"/>
    </row>
    <row r="2" spans="1:9" s="4" customFormat="1" ht="17.25" customHeight="1" x14ac:dyDescent="0.45">
      <c r="A2" s="5"/>
      <c r="B2" s="19" t="s">
        <v>30</v>
      </c>
      <c r="C2" s="19"/>
      <c r="D2" s="19"/>
      <c r="E2" s="19"/>
      <c r="F2" s="19"/>
      <c r="G2" s="19"/>
      <c r="H2" s="19"/>
      <c r="I2" s="6"/>
    </row>
    <row r="4" spans="1:9" s="8" customFormat="1" ht="15.75" x14ac:dyDescent="0.5">
      <c r="A4" s="20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</row>
    <row r="5" spans="1:9" s="10" customFormat="1" ht="10.5" x14ac:dyDescent="0.35">
      <c r="A5" s="21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9" t="s">
        <v>19</v>
      </c>
    </row>
    <row r="6" spans="1:9" ht="15.75" customHeight="1" x14ac:dyDescent="0.45">
      <c r="A6" s="22" t="s">
        <v>25</v>
      </c>
      <c r="B6" s="22"/>
      <c r="C6" s="22"/>
      <c r="D6" s="22"/>
      <c r="E6" s="22"/>
      <c r="F6" s="22"/>
      <c r="G6" s="22"/>
      <c r="H6" s="22"/>
      <c r="I6" s="22"/>
    </row>
    <row r="7" spans="1:9" ht="40.5" customHeight="1" x14ac:dyDescent="0.45">
      <c r="A7" s="13" t="s">
        <v>26</v>
      </c>
      <c r="B7" s="1">
        <v>0</v>
      </c>
      <c r="C7" s="1">
        <v>108</v>
      </c>
      <c r="D7" s="1">
        <v>0</v>
      </c>
      <c r="E7" s="1">
        <v>75.430000000000007</v>
      </c>
      <c r="F7" s="1">
        <v>0</v>
      </c>
      <c r="G7" s="1">
        <v>52.43</v>
      </c>
      <c r="H7" s="1">
        <v>0</v>
      </c>
      <c r="I7" s="1">
        <v>39.700000000000003</v>
      </c>
    </row>
    <row r="8" spans="1:9" ht="40.5" customHeight="1" x14ac:dyDescent="0.45">
      <c r="A8" s="13" t="s">
        <v>27</v>
      </c>
      <c r="B8" s="1">
        <f ca="1">10^(B8/20)*10^-6</f>
        <v>0</v>
      </c>
      <c r="C8" s="27">
        <f>10^(C7/20)*10^-5</f>
        <v>2.5118864315095846</v>
      </c>
      <c r="D8" s="1">
        <f t="shared" ref="D8:I8" si="0">10^(D7/20)*10^-6</f>
        <v>9.9999999999999995E-7</v>
      </c>
      <c r="E8" s="27">
        <f>10^(E7/20)*10^-6</f>
        <v>5.9088096557478294E-3</v>
      </c>
      <c r="F8" s="1">
        <f t="shared" si="0"/>
        <v>9.9999999999999995E-7</v>
      </c>
      <c r="G8" s="27">
        <f>10^(G7/20)*10^-6</f>
        <v>4.1831168865149584E-4</v>
      </c>
      <c r="H8" s="1">
        <f t="shared" si="0"/>
        <v>9.9999999999999995E-7</v>
      </c>
      <c r="I8" s="27">
        <f>10^(I7/20)*10^-6</f>
        <v>9.6605087898981389E-5</v>
      </c>
    </row>
    <row r="9" spans="1:9" ht="40.5" customHeight="1" x14ac:dyDescent="0.45">
      <c r="A9" s="17" t="s">
        <v>31</v>
      </c>
      <c r="B9" s="1">
        <f>SQRT(E8^2+G8^2+I8^2)/C8*100</f>
        <v>0.23585405236272836</v>
      </c>
      <c r="C9" s="23"/>
      <c r="D9" s="24"/>
      <c r="E9" s="24"/>
      <c r="F9" s="24"/>
      <c r="G9" s="24"/>
      <c r="H9" s="24"/>
      <c r="I9" s="25"/>
    </row>
    <row r="10" spans="1:9" ht="40.5" customHeight="1" x14ac:dyDescent="0.45"/>
  </sheetData>
  <mergeCells count="5">
    <mergeCell ref="B1:H1"/>
    <mergeCell ref="B2:H2"/>
    <mergeCell ref="A4:A5"/>
    <mergeCell ref="A6:I6"/>
    <mergeCell ref="C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DSF</vt:lpstr>
      <vt:lpstr>TDH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2026-05-20T13:08:53Z</dcterms:modified>
  <cp:category/>
  <cp:contentStatus/>
</cp:coreProperties>
</file>